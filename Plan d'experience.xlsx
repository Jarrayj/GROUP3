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547" documentId="11_9248CACD84F5E813E97046798E3E8C1851038385" xr6:coauthVersionLast="47" xr6:coauthVersionMax="47" xr10:uidLastSave="{313B7116-6E5C-4ACB-9EF7-073634C163B9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6" i="1"/>
  <c r="F27" i="1"/>
  <c r="F24" i="1"/>
  <c r="C30" i="1" a="1"/>
  <c r="C30" i="1"/>
  <c r="C36" i="1" s="1" a="1"/>
  <c r="C36" i="1" s="1"/>
  <c r="C42" i="1" s="1" a="1"/>
  <c r="C42" i="1" s="1"/>
  <c r="H42" i="1" s="1" a="1"/>
  <c r="H42" i="1" s="1"/>
  <c r="E47" i="1" s="1" a="1"/>
  <c r="E4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<sst xmlns="http://schemas.openxmlformats.org/spreadsheetml/2006/main" count="32" uniqueCount="29">
  <si>
    <t>1er essai</t>
  </si>
  <si>
    <t>2e essai</t>
  </si>
  <si>
    <t>3e essai</t>
  </si>
  <si>
    <t>4e essai</t>
  </si>
  <si>
    <t>5e essai</t>
  </si>
  <si>
    <t>6e essai</t>
  </si>
  <si>
    <t>7e essai</t>
  </si>
  <si>
    <t>8e essai</t>
  </si>
  <si>
    <t>X1=alpha</t>
  </si>
  <si>
    <t>X2=beta</t>
  </si>
  <si>
    <t>Y</t>
  </si>
  <si>
    <t>X1</t>
  </si>
  <si>
    <t>X2</t>
  </si>
  <si>
    <t>min</t>
  </si>
  <si>
    <t>max</t>
  </si>
  <si>
    <t>Variables centrées réduites</t>
  </si>
  <si>
    <t>X1X2</t>
  </si>
  <si>
    <t>Essaie 1</t>
  </si>
  <si>
    <t>Essaie 2</t>
  </si>
  <si>
    <t>Essaie 3</t>
  </si>
  <si>
    <t>Essaie 4</t>
  </si>
  <si>
    <t>Transposé Ct</t>
  </si>
  <si>
    <t>Produit Ct*C</t>
  </si>
  <si>
    <t>Inverse (Ct*C)</t>
  </si>
  <si>
    <t>Produit (inerve * transposé)</t>
  </si>
  <si>
    <t>a0</t>
  </si>
  <si>
    <t>a1</t>
  </si>
  <si>
    <t>a2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</si>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</sst>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5</xdr:row>
      <xdr:rowOff>123825</xdr:rowOff>
    </xdr:from>
    <xdr:to>
      <xdr:col>8</xdr:col>
      <xdr:colOff>66675</xdr:colOff>
      <xdr:row>7</xdr:row>
      <xdr:rowOff>114300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8C4E68F-2347-54A5-3F27-71F8CF8E0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9075" y="1266825"/>
          <a:ext cx="4572000" cy="371475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8</xdr:row>
      <xdr:rowOff>28575</xdr:rowOff>
    </xdr:from>
    <xdr:to>
      <xdr:col>6</xdr:col>
      <xdr:colOff>161925</xdr:colOff>
      <xdr:row>18</xdr:row>
      <xdr:rowOff>28575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E7A02C3-651F-51EB-A41D-84C1F226D186}"/>
            </a:ext>
            <a:ext uri="{147F2762-F138-4A5C-976F-8EAC2B608ADB}">
              <a16:predDERef xmlns:a16="http://schemas.microsoft.com/office/drawing/2014/main" pred="{D8C4E68F-2347-54A5-3F27-71F8CF8E0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1743075"/>
          <a:ext cx="26670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19</xdr:row>
      <xdr:rowOff>0</xdr:rowOff>
    </xdr:from>
    <xdr:to>
      <xdr:col>5</xdr:col>
      <xdr:colOff>495300</xdr:colOff>
      <xdr:row>20</xdr:row>
      <xdr:rowOff>180975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314B78-0F3D-1566-8FAC-572518456C70}"/>
            </a:ext>
            <a:ext uri="{147F2762-F138-4A5C-976F-8EAC2B608ADB}">
              <a16:predDERef xmlns:a16="http://schemas.microsoft.com/office/drawing/2014/main" pred="{0E7A02C3-651F-51EB-A41D-84C1F226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38775" y="3810000"/>
          <a:ext cx="176212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B52" sqref="B52"/>
    </sheetView>
  </sheetViews>
  <sheetFormatPr defaultRowHeight="15"/>
  <cols>
    <col min="2" max="5" width="9.140625" bestFit="1" customWidth="1"/>
  </cols>
  <sheetData>
    <row r="1" spans="1:10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0">
      <c r="A2" s="2" t="s">
        <v>8</v>
      </c>
      <c r="B2" s="2"/>
      <c r="C2" s="2"/>
      <c r="D2" s="2"/>
      <c r="E2" s="2"/>
      <c r="F2" s="2"/>
      <c r="G2" s="2"/>
      <c r="H2" s="2"/>
      <c r="I2" s="2"/>
    </row>
    <row r="3" spans="1:10">
      <c r="A3" s="6" t="s">
        <v>9</v>
      </c>
      <c r="B3" s="2"/>
      <c r="C3" s="2"/>
      <c r="D3" s="2"/>
      <c r="E3" s="2"/>
      <c r="F3" s="2"/>
      <c r="G3" s="2"/>
      <c r="H3" s="2"/>
      <c r="I3" s="2"/>
    </row>
    <row r="4" spans="1:10">
      <c r="A4" s="2" t="s">
        <v>10</v>
      </c>
      <c r="B4" s="2"/>
      <c r="C4" s="2"/>
      <c r="D4" s="2"/>
      <c r="E4" s="2"/>
      <c r="F4" s="2"/>
      <c r="G4" s="2"/>
      <c r="H4" s="2"/>
      <c r="I4" s="2"/>
    </row>
    <row r="11" spans="1:10">
      <c r="H11" s="2"/>
      <c r="I11" s="2" t="s">
        <v>11</v>
      </c>
      <c r="J11" s="2" t="s">
        <v>12</v>
      </c>
    </row>
    <row r="12" spans="1:10">
      <c r="H12" s="2" t="s">
        <v>13</v>
      </c>
      <c r="I12" s="2">
        <v>-1</v>
      </c>
      <c r="J12" s="2">
        <v>-1</v>
      </c>
    </row>
    <row r="13" spans="1:10">
      <c r="H13" s="2" t="s">
        <v>14</v>
      </c>
      <c r="I13" s="2">
        <v>1</v>
      </c>
      <c r="J13" s="2">
        <v>1</v>
      </c>
    </row>
    <row r="14" spans="1:10">
      <c r="H14" s="2" t="s">
        <v>15</v>
      </c>
      <c r="I14" s="2"/>
      <c r="J14" s="2"/>
    </row>
    <row r="23" spans="2:7">
      <c r="D23" s="1" t="s">
        <v>11</v>
      </c>
      <c r="E23" t="s">
        <v>12</v>
      </c>
      <c r="F23" t="s">
        <v>16</v>
      </c>
      <c r="G23" s="1" t="s">
        <v>10</v>
      </c>
    </row>
    <row r="24" spans="2:7">
      <c r="B24" t="s">
        <v>17</v>
      </c>
      <c r="C24" s="3">
        <v>1</v>
      </c>
      <c r="D24" s="3">
        <v>-1</v>
      </c>
      <c r="E24" s="3">
        <v>-1</v>
      </c>
      <c r="F24" s="4">
        <f>D24*E24</f>
        <v>1</v>
      </c>
      <c r="G24" s="5">
        <v>3.31</v>
      </c>
    </row>
    <row r="25" spans="2:7">
      <c r="B25" t="s">
        <v>18</v>
      </c>
      <c r="C25" s="3">
        <v>1</v>
      </c>
      <c r="D25" s="3">
        <v>1</v>
      </c>
      <c r="E25" s="3">
        <v>-1</v>
      </c>
      <c r="F25" s="4">
        <f t="shared" ref="F25:F27" si="0">D25*E25</f>
        <v>-1</v>
      </c>
      <c r="G25" s="5">
        <v>6.55</v>
      </c>
    </row>
    <row r="26" spans="2:7">
      <c r="B26" t="s">
        <v>19</v>
      </c>
      <c r="C26" s="3">
        <v>1</v>
      </c>
      <c r="D26" s="3">
        <v>1</v>
      </c>
      <c r="E26" s="3">
        <v>1</v>
      </c>
      <c r="F26" s="4">
        <f t="shared" si="0"/>
        <v>1</v>
      </c>
      <c r="G26" s="5">
        <v>10.09</v>
      </c>
    </row>
    <row r="27" spans="2:7">
      <c r="B27" t="s">
        <v>20</v>
      </c>
      <c r="C27" s="3">
        <v>1</v>
      </c>
      <c r="D27" s="3">
        <v>-1</v>
      </c>
      <c r="E27" s="3">
        <v>1</v>
      </c>
      <c r="F27" s="4">
        <f t="shared" si="0"/>
        <v>-1</v>
      </c>
      <c r="G27" s="5">
        <v>4.67</v>
      </c>
    </row>
    <row r="29" spans="2:7">
      <c r="D29" t="s">
        <v>21</v>
      </c>
    </row>
    <row r="30" spans="2:7">
      <c r="C30" s="2" cm="1">
        <f t="array" ref="C30:F33">TRANSPOSE(C24:F27)</f>
        <v>1</v>
      </c>
      <c r="D30" s="2">
        <v>1</v>
      </c>
      <c r="E30" s="2">
        <v>1</v>
      </c>
      <c r="F30" s="2">
        <v>1</v>
      </c>
    </row>
    <row r="31" spans="2:7">
      <c r="C31" s="2">
        <v>-1</v>
      </c>
      <c r="D31" s="2">
        <v>1</v>
      </c>
      <c r="E31" s="2">
        <v>1</v>
      </c>
      <c r="F31" s="2">
        <v>-1</v>
      </c>
    </row>
    <row r="32" spans="2:7">
      <c r="C32" s="2">
        <v>-1</v>
      </c>
      <c r="D32" s="2">
        <v>-1</v>
      </c>
      <c r="E32" s="2">
        <v>1</v>
      </c>
      <c r="F32" s="2">
        <v>1</v>
      </c>
    </row>
    <row r="33" spans="3:11">
      <c r="C33" s="2">
        <v>1</v>
      </c>
      <c r="D33" s="2">
        <v>-1</v>
      </c>
      <c r="E33" s="2">
        <v>1</v>
      </c>
      <c r="F33" s="2">
        <v>-1</v>
      </c>
    </row>
    <row r="35" spans="3:11">
      <c r="D35" t="s">
        <v>22</v>
      </c>
    </row>
    <row r="36" spans="3:11">
      <c r="C36" s="2" cm="1">
        <f t="array" ref="C36:F39">MMULT(C30:F33,C24:F27)</f>
        <v>4</v>
      </c>
      <c r="D36" s="2">
        <v>0</v>
      </c>
      <c r="E36" s="2">
        <v>0</v>
      </c>
      <c r="F36" s="2">
        <v>0</v>
      </c>
    </row>
    <row r="37" spans="3:11">
      <c r="C37" s="2">
        <v>0</v>
      </c>
      <c r="D37" s="2">
        <v>4</v>
      </c>
      <c r="E37" s="2">
        <v>0</v>
      </c>
      <c r="F37" s="2">
        <v>0</v>
      </c>
    </row>
    <row r="38" spans="3:11">
      <c r="C38" s="2">
        <v>0</v>
      </c>
      <c r="D38" s="2">
        <v>0</v>
      </c>
      <c r="E38" s="2">
        <v>4</v>
      </c>
      <c r="F38" s="2">
        <v>0</v>
      </c>
    </row>
    <row r="39" spans="3:11">
      <c r="C39" s="2">
        <v>0</v>
      </c>
      <c r="D39" s="2">
        <v>0</v>
      </c>
      <c r="E39" s="2">
        <v>0</v>
      </c>
      <c r="F39" s="2">
        <v>4</v>
      </c>
    </row>
    <row r="41" spans="3:11">
      <c r="D41" t="s">
        <v>23</v>
      </c>
      <c r="I41" t="s">
        <v>24</v>
      </c>
    </row>
    <row r="42" spans="3:11">
      <c r="C42" s="2" cm="1">
        <f t="array" ref="C42:F45">MINVERSE(C36:F39)</f>
        <v>0.25</v>
      </c>
      <c r="D42" s="2">
        <v>0</v>
      </c>
      <c r="E42" s="2">
        <v>0</v>
      </c>
      <c r="F42" s="2">
        <v>0</v>
      </c>
      <c r="H42" s="2" cm="1">
        <f t="array" ref="H42:K45">MMULT(C42:F45,C30:F33)</f>
        <v>0.25</v>
      </c>
      <c r="I42" s="2">
        <v>0.25</v>
      </c>
      <c r="J42" s="2">
        <v>0.25</v>
      </c>
      <c r="K42" s="2">
        <v>0.25</v>
      </c>
    </row>
    <row r="43" spans="3:11">
      <c r="C43" s="2">
        <v>0</v>
      </c>
      <c r="D43" s="2">
        <v>0.25</v>
      </c>
      <c r="E43" s="2">
        <v>0</v>
      </c>
      <c r="F43" s="2">
        <v>0</v>
      </c>
      <c r="H43" s="2">
        <v>-0.25</v>
      </c>
      <c r="I43" s="2">
        <v>0.25</v>
      </c>
      <c r="J43" s="2">
        <v>0.25</v>
      </c>
      <c r="K43" s="2">
        <v>-0.25</v>
      </c>
    </row>
    <row r="44" spans="3:11">
      <c r="C44" s="2">
        <v>0</v>
      </c>
      <c r="D44" s="2">
        <v>0</v>
      </c>
      <c r="E44" s="2">
        <v>0.25</v>
      </c>
      <c r="F44" s="2">
        <v>0</v>
      </c>
      <c r="H44" s="2">
        <v>-0.25</v>
      </c>
      <c r="I44" s="2">
        <v>-0.25</v>
      </c>
      <c r="J44" s="2">
        <v>0.25</v>
      </c>
      <c r="K44" s="2">
        <v>0.25</v>
      </c>
    </row>
    <row r="45" spans="3:11">
      <c r="C45" s="2">
        <v>0</v>
      </c>
      <c r="D45" s="2">
        <v>0</v>
      </c>
      <c r="E45" s="2">
        <v>0</v>
      </c>
      <c r="F45" s="2">
        <v>0.25</v>
      </c>
      <c r="H45" s="2">
        <v>0.25</v>
      </c>
      <c r="I45" s="2">
        <v>-0.25</v>
      </c>
      <c r="J45" s="2">
        <v>0.25</v>
      </c>
      <c r="K45" s="2">
        <v>-0.25</v>
      </c>
    </row>
    <row r="47" spans="3:11">
      <c r="D47" s="2" t="s">
        <v>25</v>
      </c>
      <c r="E47" s="2" cm="1">
        <f t="array" ref="E47:E50">MMULT(H42:K45,G24:G27)</f>
        <v>6.1549999999999994</v>
      </c>
    </row>
    <row r="48" spans="3:11">
      <c r="D48" s="2" t="s">
        <v>26</v>
      </c>
      <c r="E48" s="2">
        <v>2.165</v>
      </c>
    </row>
    <row r="49" spans="4:5">
      <c r="D49" s="2" t="s">
        <v>27</v>
      </c>
      <c r="E49" s="2">
        <v>1.2250000000000001</v>
      </c>
    </row>
    <row r="50" spans="4:5">
      <c r="D50" s="2" t="s">
        <v>28</v>
      </c>
      <c r="E50" s="2">
        <v>0.54499999999999993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malick sow</cp:lastModifiedBy>
  <cp:revision/>
  <dcterms:created xsi:type="dcterms:W3CDTF">2026-01-21T13:35:56Z</dcterms:created>
  <dcterms:modified xsi:type="dcterms:W3CDTF">2026-05-12T14:02:01Z</dcterms:modified>
  <cp:category/>
  <cp:contentStatus/>
</cp:coreProperties>
</file>